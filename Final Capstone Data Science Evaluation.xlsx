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CA270A7-E57A-4481-8D6B-A9C5E6C9C7CB}" xr6:coauthVersionLast="47" xr6:coauthVersionMax="47" xr10:uidLastSave="{00000000-0000-0000-0000-000000000000}"/>
  <bookViews>
    <workbookView xWindow="-108" yWindow="-108" windowWidth="23256" windowHeight="12456" activeTab="1" xr2:uid="{92B545C9-4536-43EB-9D24-FE89C43792AC}"/>
  </bookViews>
  <sheets>
    <sheet name="Raw_Data" sheetId="2" r:id="rId1"/>
    <sheet name="Clean data" sheetId="7" r:id="rId2"/>
    <sheet name="Revenue by loc" sheetId="9" r:id="rId3"/>
    <sheet name="Revenue by cat" sheetId="8" r:id="rId4"/>
    <sheet name="Dashboard" sheetId="3" r:id="rId5"/>
    <sheet name="4_model" sheetId="4" r:id="rId6"/>
  </sheets>
  <calcPr calcId="191029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7" l="1"/>
  <c r="H3" i="7"/>
  <c r="H4" i="7"/>
  <c r="I4" i="7" s="1"/>
  <c r="H5" i="7"/>
  <c r="I5" i="7" s="1"/>
  <c r="H6" i="7"/>
  <c r="I6" i="7" s="1"/>
  <c r="H7" i="7"/>
  <c r="I7" i="7" s="1"/>
  <c r="H8" i="7"/>
  <c r="I8" i="7" s="1"/>
  <c r="H9" i="7"/>
  <c r="I9" i="7" s="1"/>
  <c r="H10" i="7"/>
  <c r="H11" i="7"/>
  <c r="I11" i="7" s="1"/>
  <c r="H12" i="7"/>
  <c r="I12" i="7" s="1"/>
  <c r="H13" i="7"/>
  <c r="I13" i="7" s="1"/>
  <c r="H14" i="7"/>
  <c r="I14" i="7" s="1"/>
  <c r="H15" i="7"/>
  <c r="I15" i="7" s="1"/>
  <c r="H16" i="7"/>
  <c r="I16" i="7" s="1"/>
  <c r="H17" i="7"/>
  <c r="I17" i="7" s="1"/>
  <c r="H18" i="7"/>
  <c r="I18" i="7" s="1"/>
  <c r="H19" i="7"/>
  <c r="I19" i="7" s="1"/>
  <c r="H20" i="7"/>
  <c r="I20" i="7" s="1"/>
  <c r="H2" i="7"/>
  <c r="I2" i="7"/>
  <c r="I10" i="7"/>
  <c r="G23" i="7"/>
  <c r="G22" i="7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" i="2"/>
  <c r="H22" i="7" l="1"/>
  <c r="H23" i="7"/>
  <c r="I3" i="7"/>
</calcChain>
</file>

<file path=xl/sharedStrings.xml><?xml version="1.0" encoding="utf-8"?>
<sst xmlns="http://schemas.openxmlformats.org/spreadsheetml/2006/main" count="185" uniqueCount="40">
  <si>
    <t>DATE</t>
  </si>
  <si>
    <t xml:space="preserve">REGION </t>
  </si>
  <si>
    <t>PRODUCT</t>
  </si>
  <si>
    <t>UNIT SOLD</t>
  </si>
  <si>
    <t>UNIT PRICE</t>
  </si>
  <si>
    <t>MERU TOWN</t>
  </si>
  <si>
    <t>NKUBU</t>
  </si>
  <si>
    <t>TIMAU</t>
  </si>
  <si>
    <t>MAUA</t>
  </si>
  <si>
    <t>SEEDS</t>
  </si>
  <si>
    <t>FERTILIZER</t>
  </si>
  <si>
    <t>CHEMICALS</t>
  </si>
  <si>
    <t>ANIMAL FEEDS</t>
  </si>
  <si>
    <t>CATEGORY</t>
  </si>
  <si>
    <t>MAIZE SEEDS</t>
  </si>
  <si>
    <t xml:space="preserve">FERTILIZER </t>
  </si>
  <si>
    <t>PESTICIDE</t>
  </si>
  <si>
    <t>MIXTURE</t>
  </si>
  <si>
    <t>REVENUE</t>
  </si>
  <si>
    <t>Total</t>
  </si>
  <si>
    <t>JUNE</t>
  </si>
  <si>
    <t>NOVEMBER</t>
  </si>
  <si>
    <t>OCTOBER</t>
  </si>
  <si>
    <t>MONTH</t>
  </si>
  <si>
    <t>DECEMBER</t>
  </si>
  <si>
    <t>AUGUST</t>
  </si>
  <si>
    <t>MEAN</t>
  </si>
  <si>
    <t>Row Labels</t>
  </si>
  <si>
    <t>Grand Total</t>
  </si>
  <si>
    <t>Sum of 20</t>
  </si>
  <si>
    <t>Sum of 150.0</t>
  </si>
  <si>
    <t xml:space="preserve">Sum of  3,000.0 </t>
  </si>
  <si>
    <t>Sum of REVENUE</t>
  </si>
  <si>
    <t>SUM</t>
  </si>
  <si>
    <t>TOP PRODUCT</t>
  </si>
  <si>
    <t>BEST REGION</t>
  </si>
  <si>
    <t>TOTAL REVENUE</t>
  </si>
  <si>
    <t xml:space="preserve">   </t>
  </si>
  <si>
    <t xml:space="preserve"> vv 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</si>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</sst>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_(* #,##0.0_);_(* \(#,##0.0\);_(* &quot;-&quot;?_);_(@_)"/>
    <numFmt numFmtId="166" formatCode="_(* #,##0.00_);_(* \(#,##0.00\);_(* &quot;-&quot;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0" applyNumberFormat="1"/>
    <xf numFmtId="4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Capstone Data Science Evaluation.xlsx]Clean data!PivotTable1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 data'!$M$5</c:f>
              <c:strCache>
                <c:ptCount val="1"/>
                <c:pt idx="0">
                  <c:v>Sum of 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'Clean data'!$L$6:$L$14</c:f>
              <c:multiLvlStrCache>
                <c:ptCount val="4"/>
                <c:lvl>
                  <c:pt idx="0">
                    <c:v>FERTILIZER</c:v>
                  </c:pt>
                  <c:pt idx="1">
                    <c:v>SEEDS</c:v>
                  </c:pt>
                  <c:pt idx="2">
                    <c:v>ANIMAL FEEDS</c:v>
                  </c:pt>
                  <c:pt idx="3">
                    <c:v>CHEMICALS</c:v>
                  </c:pt>
                </c:lvl>
                <c:lvl>
                  <c:pt idx="0">
                    <c:v>FERTILIZER </c:v>
                  </c:pt>
                  <c:pt idx="1">
                    <c:v>MAIZE SEEDS</c:v>
                  </c:pt>
                  <c:pt idx="2">
                    <c:v>MIXTURE</c:v>
                  </c:pt>
                  <c:pt idx="3">
                    <c:v>PESTICIDE</c:v>
                  </c:pt>
                </c:lvl>
              </c:multiLvlStrCache>
            </c:multiLvlStrRef>
          </c:cat>
          <c:val>
            <c:numRef>
              <c:f>'Clean data'!$M$6:$M$14</c:f>
              <c:numCache>
                <c:formatCode>General</c:formatCode>
                <c:ptCount val="4"/>
                <c:pt idx="0">
                  <c:v>85</c:v>
                </c:pt>
                <c:pt idx="1">
                  <c:v>60</c:v>
                </c:pt>
                <c:pt idx="2">
                  <c:v>65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62-463C-B8D6-484C88A98131}"/>
            </c:ext>
          </c:extLst>
        </c:ser>
        <c:ser>
          <c:idx val="1"/>
          <c:order val="1"/>
          <c:tx>
            <c:strRef>
              <c:f>'Clean data'!$N$5</c:f>
              <c:strCache>
                <c:ptCount val="1"/>
                <c:pt idx="0">
                  <c:v>Sum of 150.0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'Clean data'!$L$6:$L$14</c:f>
              <c:multiLvlStrCache>
                <c:ptCount val="4"/>
                <c:lvl>
                  <c:pt idx="0">
                    <c:v>FERTILIZER</c:v>
                  </c:pt>
                  <c:pt idx="1">
                    <c:v>SEEDS</c:v>
                  </c:pt>
                  <c:pt idx="2">
                    <c:v>ANIMAL FEEDS</c:v>
                  </c:pt>
                  <c:pt idx="3">
                    <c:v>CHEMICALS</c:v>
                  </c:pt>
                </c:lvl>
                <c:lvl>
                  <c:pt idx="0">
                    <c:v>FERTILIZER </c:v>
                  </c:pt>
                  <c:pt idx="1">
                    <c:v>MAIZE SEEDS</c:v>
                  </c:pt>
                  <c:pt idx="2">
                    <c:v>MIXTURE</c:v>
                  </c:pt>
                  <c:pt idx="3">
                    <c:v>PESTICIDE</c:v>
                  </c:pt>
                </c:lvl>
              </c:multiLvlStrCache>
            </c:multiLvlStrRef>
          </c:cat>
          <c:val>
            <c:numRef>
              <c:f>'Clean data'!$N$6:$N$14</c:f>
              <c:numCache>
                <c:formatCode>General</c:formatCode>
                <c:ptCount val="4"/>
                <c:pt idx="0">
                  <c:v>15000</c:v>
                </c:pt>
                <c:pt idx="1">
                  <c:v>600</c:v>
                </c:pt>
                <c:pt idx="2">
                  <c:v>8000</c:v>
                </c:pt>
                <c:pt idx="3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62-463C-B8D6-484C88A98131}"/>
            </c:ext>
          </c:extLst>
        </c:ser>
        <c:ser>
          <c:idx val="2"/>
          <c:order val="2"/>
          <c:tx>
            <c:strRef>
              <c:f>'Clean data'!$O$5</c:f>
              <c:strCache>
                <c:ptCount val="1"/>
                <c:pt idx="0">
                  <c:v>Sum of  3,000.0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'Clean data'!$L$6:$L$14</c:f>
              <c:multiLvlStrCache>
                <c:ptCount val="4"/>
                <c:lvl>
                  <c:pt idx="0">
                    <c:v>FERTILIZER</c:v>
                  </c:pt>
                  <c:pt idx="1">
                    <c:v>SEEDS</c:v>
                  </c:pt>
                  <c:pt idx="2">
                    <c:v>ANIMAL FEEDS</c:v>
                  </c:pt>
                  <c:pt idx="3">
                    <c:v>CHEMICALS</c:v>
                  </c:pt>
                </c:lvl>
                <c:lvl>
                  <c:pt idx="0">
                    <c:v>FERTILIZER </c:v>
                  </c:pt>
                  <c:pt idx="1">
                    <c:v>MAIZE SEEDS</c:v>
                  </c:pt>
                  <c:pt idx="2">
                    <c:v>MIXTURE</c:v>
                  </c:pt>
                  <c:pt idx="3">
                    <c:v>PESTICIDE</c:v>
                  </c:pt>
                </c:lvl>
              </c:multiLvlStrCache>
            </c:multiLvlStrRef>
          </c:cat>
          <c:val>
            <c:numRef>
              <c:f>'Clean data'!$O$6:$O$14</c:f>
              <c:numCache>
                <c:formatCode>General</c:formatCode>
                <c:ptCount val="4"/>
                <c:pt idx="0">
                  <c:v>212500</c:v>
                </c:pt>
                <c:pt idx="1">
                  <c:v>9000</c:v>
                </c:pt>
                <c:pt idx="2">
                  <c:v>130000</c:v>
                </c:pt>
                <c:pt idx="3">
                  <c:v>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62-463C-B8D6-484C88A98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3215855"/>
        <c:axId val="1683216335"/>
      </c:barChart>
      <c:catAx>
        <c:axId val="168321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216335"/>
        <c:crosses val="autoZero"/>
        <c:auto val="1"/>
        <c:lblAlgn val="ctr"/>
        <c:lblOffset val="100"/>
        <c:noMultiLvlLbl val="0"/>
      </c:catAx>
      <c:valAx>
        <c:axId val="168321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21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product vs Revenue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'Clean data'!$H$1</c:f>
              <c:strCache>
                <c:ptCount val="1"/>
                <c:pt idx="0">
                  <c:v> REVENUE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'Clean data'!$D$2:$D$20</c:f>
              <c:strCache>
                <c:ptCount val="19"/>
                <c:pt idx="0">
                  <c:v>MAIZE SEEDS</c:v>
                </c:pt>
                <c:pt idx="1">
                  <c:v>FERTILIZER </c:v>
                </c:pt>
                <c:pt idx="2">
                  <c:v>PESTICIDE</c:v>
                </c:pt>
                <c:pt idx="3">
                  <c:v>MIXTURE</c:v>
                </c:pt>
                <c:pt idx="4">
                  <c:v>MAIZE SEEDS</c:v>
                </c:pt>
                <c:pt idx="5">
                  <c:v>FERTILIZER </c:v>
                </c:pt>
                <c:pt idx="6">
                  <c:v>PESTICIDE</c:v>
                </c:pt>
                <c:pt idx="7">
                  <c:v>MIXTURE</c:v>
                </c:pt>
                <c:pt idx="8">
                  <c:v>MAIZE SEEDS</c:v>
                </c:pt>
                <c:pt idx="9">
                  <c:v>FERTILIZER </c:v>
                </c:pt>
                <c:pt idx="10">
                  <c:v>FERTILIZER </c:v>
                </c:pt>
                <c:pt idx="11">
                  <c:v>PESTICIDE</c:v>
                </c:pt>
                <c:pt idx="12">
                  <c:v>MIXTURE</c:v>
                </c:pt>
                <c:pt idx="13">
                  <c:v>MAIZE SEEDS</c:v>
                </c:pt>
                <c:pt idx="14">
                  <c:v>FERTILIZER </c:v>
                </c:pt>
                <c:pt idx="15">
                  <c:v>PESTICIDE</c:v>
                </c:pt>
                <c:pt idx="16">
                  <c:v>MIXTURE</c:v>
                </c:pt>
                <c:pt idx="17">
                  <c:v>MAIZE SEEDS</c:v>
                </c:pt>
                <c:pt idx="18">
                  <c:v>FERTILIZER </c:v>
                </c:pt>
              </c:strCache>
            </c:strRef>
          </c:cat>
          <c:val>
            <c:numRef>
              <c:f>'Clean data'!$H$2:$H$20</c:f>
              <c:numCache>
                <c:formatCode>_(* #,##0.00_);_(* \(#,##0.00\);_(* "-"?_);_(@_)</c:formatCode>
                <c:ptCount val="19"/>
                <c:pt idx="0">
                  <c:v>3000</c:v>
                </c:pt>
                <c:pt idx="1">
                  <c:v>37500</c:v>
                </c:pt>
                <c:pt idx="2">
                  <c:v>9000</c:v>
                </c:pt>
                <c:pt idx="3">
                  <c:v>20000</c:v>
                </c:pt>
                <c:pt idx="4">
                  <c:v>1500</c:v>
                </c:pt>
                <c:pt idx="5">
                  <c:v>25000</c:v>
                </c:pt>
                <c:pt idx="6">
                  <c:v>18000</c:v>
                </c:pt>
                <c:pt idx="7">
                  <c:v>30000</c:v>
                </c:pt>
                <c:pt idx="8">
                  <c:v>2250</c:v>
                </c:pt>
                <c:pt idx="9">
                  <c:v>50000</c:v>
                </c:pt>
                <c:pt idx="10">
                  <c:v>25000</c:v>
                </c:pt>
                <c:pt idx="11">
                  <c:v>13500</c:v>
                </c:pt>
                <c:pt idx="12">
                  <c:v>40000</c:v>
                </c:pt>
                <c:pt idx="13">
                  <c:v>2250</c:v>
                </c:pt>
                <c:pt idx="14">
                  <c:v>50000</c:v>
                </c:pt>
                <c:pt idx="15">
                  <c:v>13500</c:v>
                </c:pt>
                <c:pt idx="16">
                  <c:v>40000</c:v>
                </c:pt>
                <c:pt idx="17">
                  <c:v>3000</c:v>
                </c:pt>
                <c:pt idx="18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D-4C9D-A2E0-D62B77AEF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683161615"/>
        <c:axId val="1683162095"/>
        <c:axId val="0"/>
      </c:bar3DChart>
      <c:catAx>
        <c:axId val="168316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162095"/>
        <c:crosses val="autoZero"/>
        <c:auto val="1"/>
        <c:lblAlgn val="ctr"/>
        <c:lblOffset val="100"/>
        <c:noMultiLvlLbl val="0"/>
      </c:catAx>
      <c:valAx>
        <c:axId val="168316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16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7207907973767429E-2"/>
          <c:y val="0.19118146689997084"/>
          <c:w val="0.91279209202623257"/>
          <c:h val="0.34200823855351425"/>
        </c:manualLayout>
      </c:layout>
      <c:pie3DChart>
        <c:varyColors val="1"/>
        <c:ser>
          <c:idx val="0"/>
          <c:order val="0"/>
          <c:tx>
            <c:strRef>
              <c:f>'Clean data'!$F$1</c:f>
              <c:strCache>
                <c:ptCount val="1"/>
                <c:pt idx="0">
                  <c:v>UNIT SOLD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859-4D02-A7BC-C2D9CFE3E5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859-4D02-A7BC-C2D9CFE3E5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859-4D02-A7BC-C2D9CFE3E5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859-4D02-A7BC-C2D9CFE3E5C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859-4D02-A7BC-C2D9CFE3E5C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859-4D02-A7BC-C2D9CFE3E5C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859-4D02-A7BC-C2D9CFE3E5C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859-4D02-A7BC-C2D9CFE3E5C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859-4D02-A7BC-C2D9CFE3E5C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859-4D02-A7BC-C2D9CFE3E5C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859-4D02-A7BC-C2D9CFE3E5C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859-4D02-A7BC-C2D9CFE3E5C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8859-4D02-A7BC-C2D9CFE3E5C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8859-4D02-A7BC-C2D9CFE3E5C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8859-4D02-A7BC-C2D9CFE3E5CC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8859-4D02-A7BC-C2D9CFE3E5CC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8859-4D02-A7BC-C2D9CFE3E5CC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8859-4D02-A7BC-C2D9CFE3E5CC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8859-4D02-A7BC-C2D9CFE3E5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'Clean data'!$C$2:$D$20</c:f>
              <c:multiLvlStrCache>
                <c:ptCount val="19"/>
                <c:lvl>
                  <c:pt idx="0">
                    <c:v>MAIZE SEEDS</c:v>
                  </c:pt>
                  <c:pt idx="1">
                    <c:v>FERTILIZER </c:v>
                  </c:pt>
                  <c:pt idx="2">
                    <c:v>PESTICIDE</c:v>
                  </c:pt>
                  <c:pt idx="3">
                    <c:v>MIXTURE</c:v>
                  </c:pt>
                  <c:pt idx="4">
                    <c:v>MAIZE SEEDS</c:v>
                  </c:pt>
                  <c:pt idx="5">
                    <c:v>FERTILIZER </c:v>
                  </c:pt>
                  <c:pt idx="6">
                    <c:v>PESTICIDE</c:v>
                  </c:pt>
                  <c:pt idx="7">
                    <c:v>MIXTURE</c:v>
                  </c:pt>
                  <c:pt idx="8">
                    <c:v>MAIZE SEEDS</c:v>
                  </c:pt>
                  <c:pt idx="9">
                    <c:v>FERTILIZER </c:v>
                  </c:pt>
                  <c:pt idx="10">
                    <c:v>FERTILIZER </c:v>
                  </c:pt>
                  <c:pt idx="11">
                    <c:v>PESTICIDE</c:v>
                  </c:pt>
                  <c:pt idx="12">
                    <c:v>MIXTURE</c:v>
                  </c:pt>
                  <c:pt idx="13">
                    <c:v>MAIZE SEEDS</c:v>
                  </c:pt>
                  <c:pt idx="14">
                    <c:v>FERTILIZER </c:v>
                  </c:pt>
                  <c:pt idx="15">
                    <c:v>PESTICIDE</c:v>
                  </c:pt>
                  <c:pt idx="16">
                    <c:v>MIXTURE</c:v>
                  </c:pt>
                  <c:pt idx="17">
                    <c:v>MAIZE SEEDS</c:v>
                  </c:pt>
                  <c:pt idx="18">
                    <c:v>FERTILIZER </c:v>
                  </c:pt>
                </c:lvl>
                <c:lvl>
                  <c:pt idx="0">
                    <c:v>MERU TOWN</c:v>
                  </c:pt>
                  <c:pt idx="1">
                    <c:v>NKUBU</c:v>
                  </c:pt>
                  <c:pt idx="2">
                    <c:v>TIMAU</c:v>
                  </c:pt>
                  <c:pt idx="3">
                    <c:v>MAUA</c:v>
                  </c:pt>
                  <c:pt idx="4">
                    <c:v>NKUBU</c:v>
                  </c:pt>
                  <c:pt idx="5">
                    <c:v>TIMAU</c:v>
                  </c:pt>
                  <c:pt idx="6">
                    <c:v>MERU TOWN</c:v>
                  </c:pt>
                  <c:pt idx="7">
                    <c:v>MAUA</c:v>
                  </c:pt>
                  <c:pt idx="8">
                    <c:v>MAUA</c:v>
                  </c:pt>
                  <c:pt idx="9">
                    <c:v>MERU TOWN</c:v>
                  </c:pt>
                  <c:pt idx="10">
                    <c:v>TIMAU</c:v>
                  </c:pt>
                  <c:pt idx="11">
                    <c:v>NKUBU</c:v>
                  </c:pt>
                  <c:pt idx="12">
                    <c:v>MAUA</c:v>
                  </c:pt>
                  <c:pt idx="13">
                    <c:v>MERU TOWN</c:v>
                  </c:pt>
                  <c:pt idx="14">
                    <c:v>TIMAU</c:v>
                  </c:pt>
                  <c:pt idx="15">
                    <c:v>NKUBU</c:v>
                  </c:pt>
                  <c:pt idx="16">
                    <c:v>MAUA</c:v>
                  </c:pt>
                  <c:pt idx="17">
                    <c:v>MERU TOWN</c:v>
                  </c:pt>
                  <c:pt idx="18">
                    <c:v>TIMAU</c:v>
                  </c:pt>
                </c:lvl>
              </c:multiLvlStrCache>
            </c:multiLvlStrRef>
          </c:cat>
          <c:val>
            <c:numRef>
              <c:f>'Clean data'!$F$2:$F$20</c:f>
              <c:numCache>
                <c:formatCode>General</c:formatCode>
                <c:ptCount val="19"/>
                <c:pt idx="0">
                  <c:v>20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20</c:v>
                </c:pt>
                <c:pt idx="7">
                  <c:v>15</c:v>
                </c:pt>
                <c:pt idx="8">
                  <c:v>15</c:v>
                </c:pt>
                <c:pt idx="9">
                  <c:v>20</c:v>
                </c:pt>
                <c:pt idx="10">
                  <c:v>10</c:v>
                </c:pt>
                <c:pt idx="11">
                  <c:v>15</c:v>
                </c:pt>
                <c:pt idx="12">
                  <c:v>20</c:v>
                </c:pt>
                <c:pt idx="13">
                  <c:v>15</c:v>
                </c:pt>
                <c:pt idx="14">
                  <c:v>20</c:v>
                </c:pt>
                <c:pt idx="15">
                  <c:v>15</c:v>
                </c:pt>
                <c:pt idx="16">
                  <c:v>20</c:v>
                </c:pt>
                <c:pt idx="17">
                  <c:v>20</c:v>
                </c:pt>
                <c:pt idx="1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8859-4D02-A7BC-C2D9CFE3E5C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179850160239404"/>
          <c:y val="0.54339895013123363"/>
          <c:w val="0.73640299679521193"/>
          <c:h val="0.428823272090988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MONTHLY</a:t>
            </a:r>
            <a:r>
              <a:rPr lang="en-US" baseline="0">
                <a:solidFill>
                  <a:srgbClr val="FF0000"/>
                </a:solidFill>
              </a:rPr>
              <a:t> SALES TREND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'Clean data'!$F$1</c:f>
              <c:strCache>
                <c:ptCount val="1"/>
                <c:pt idx="0">
                  <c:v>UNIT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'Clean data'!$B$2:$B$20</c:f>
              <c:strCache>
                <c:ptCount val="19"/>
                <c:pt idx="0">
                  <c:v>DECEMBER</c:v>
                </c:pt>
                <c:pt idx="1">
                  <c:v>JUNE</c:v>
                </c:pt>
                <c:pt idx="2">
                  <c:v>DECEMBER</c:v>
                </c:pt>
                <c:pt idx="3">
                  <c:v>JUNE</c:v>
                </c:pt>
                <c:pt idx="4">
                  <c:v>NOVEMBER</c:v>
                </c:pt>
                <c:pt idx="5">
                  <c:v>OCTOBER</c:v>
                </c:pt>
                <c:pt idx="6">
                  <c:v>AUGUST</c:v>
                </c:pt>
                <c:pt idx="7">
                  <c:v>NOVEMBER</c:v>
                </c:pt>
                <c:pt idx="8">
                  <c:v>OCTOBER</c:v>
                </c:pt>
                <c:pt idx="9">
                  <c:v>OCTOBER</c:v>
                </c:pt>
                <c:pt idx="10">
                  <c:v>OCTOBER</c:v>
                </c:pt>
                <c:pt idx="11">
                  <c:v>OCTOBER</c:v>
                </c:pt>
                <c:pt idx="12">
                  <c:v>OCTOBER</c:v>
                </c:pt>
                <c:pt idx="13">
                  <c:v>OCTOBER</c:v>
                </c:pt>
                <c:pt idx="14">
                  <c:v>NOVEMBER</c:v>
                </c:pt>
                <c:pt idx="15">
                  <c:v>NOVEMBER</c:v>
                </c:pt>
                <c:pt idx="16">
                  <c:v>NOVEMBER</c:v>
                </c:pt>
                <c:pt idx="17">
                  <c:v>NOVEMBER</c:v>
                </c:pt>
                <c:pt idx="18">
                  <c:v>NOVEMBER</c:v>
                </c:pt>
              </c:strCache>
            </c:strRef>
          </c:cat>
          <c:val>
            <c:numRef>
              <c:f>'Clean data'!$F$2:$F$20</c:f>
              <c:numCache>
                <c:formatCode>General</c:formatCode>
                <c:ptCount val="19"/>
                <c:pt idx="0">
                  <c:v>20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20</c:v>
                </c:pt>
                <c:pt idx="7">
                  <c:v>15</c:v>
                </c:pt>
                <c:pt idx="8">
                  <c:v>15</c:v>
                </c:pt>
                <c:pt idx="9">
                  <c:v>20</c:v>
                </c:pt>
                <c:pt idx="10">
                  <c:v>10</c:v>
                </c:pt>
                <c:pt idx="11">
                  <c:v>15</c:v>
                </c:pt>
                <c:pt idx="12">
                  <c:v>20</c:v>
                </c:pt>
                <c:pt idx="13">
                  <c:v>15</c:v>
                </c:pt>
                <c:pt idx="14">
                  <c:v>20</c:v>
                </c:pt>
                <c:pt idx="15">
                  <c:v>15</c:v>
                </c:pt>
                <c:pt idx="16">
                  <c:v>20</c:v>
                </c:pt>
                <c:pt idx="17">
                  <c:v>20</c:v>
                </c:pt>
                <c:pt idx="1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52-4B05-970E-9D40385100DD}"/>
            </c:ext>
          </c:extLst>
        </c:ser>
        <c:ser>
          <c:idx val="1"/>
          <c:order val="1"/>
          <c:tx>
            <c:strRef>
              <c:f>'Clean data'!$G$1</c:f>
              <c:strCache>
                <c:ptCount val="1"/>
                <c:pt idx="0">
                  <c:v>UNIT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'Clean data'!$B$2:$B$20</c:f>
              <c:strCache>
                <c:ptCount val="19"/>
                <c:pt idx="0">
                  <c:v>DECEMBER</c:v>
                </c:pt>
                <c:pt idx="1">
                  <c:v>JUNE</c:v>
                </c:pt>
                <c:pt idx="2">
                  <c:v>DECEMBER</c:v>
                </c:pt>
                <c:pt idx="3">
                  <c:v>JUNE</c:v>
                </c:pt>
                <c:pt idx="4">
                  <c:v>NOVEMBER</c:v>
                </c:pt>
                <c:pt idx="5">
                  <c:v>OCTOBER</c:v>
                </c:pt>
                <c:pt idx="6">
                  <c:v>AUGUST</c:v>
                </c:pt>
                <c:pt idx="7">
                  <c:v>NOVEMBER</c:v>
                </c:pt>
                <c:pt idx="8">
                  <c:v>OCTOBER</c:v>
                </c:pt>
                <c:pt idx="9">
                  <c:v>OCTOBER</c:v>
                </c:pt>
                <c:pt idx="10">
                  <c:v>OCTOBER</c:v>
                </c:pt>
                <c:pt idx="11">
                  <c:v>OCTOBER</c:v>
                </c:pt>
                <c:pt idx="12">
                  <c:v>OCTOBER</c:v>
                </c:pt>
                <c:pt idx="13">
                  <c:v>OCTOBER</c:v>
                </c:pt>
                <c:pt idx="14">
                  <c:v>NOVEMBER</c:v>
                </c:pt>
                <c:pt idx="15">
                  <c:v>NOVEMBER</c:v>
                </c:pt>
                <c:pt idx="16">
                  <c:v>NOVEMBER</c:v>
                </c:pt>
                <c:pt idx="17">
                  <c:v>NOVEMBER</c:v>
                </c:pt>
                <c:pt idx="18">
                  <c:v>NOVEMBER</c:v>
                </c:pt>
              </c:strCache>
            </c:strRef>
          </c:cat>
          <c:val>
            <c:numRef>
              <c:f>'Clean data'!$G$2:$G$20</c:f>
              <c:numCache>
                <c:formatCode>#,##0.00</c:formatCode>
                <c:ptCount val="19"/>
                <c:pt idx="0">
                  <c:v>150</c:v>
                </c:pt>
                <c:pt idx="1">
                  <c:v>2500</c:v>
                </c:pt>
                <c:pt idx="2">
                  <c:v>900</c:v>
                </c:pt>
                <c:pt idx="3">
                  <c:v>2000</c:v>
                </c:pt>
                <c:pt idx="4">
                  <c:v>150</c:v>
                </c:pt>
                <c:pt idx="5">
                  <c:v>2500</c:v>
                </c:pt>
                <c:pt idx="6">
                  <c:v>900</c:v>
                </c:pt>
                <c:pt idx="7">
                  <c:v>2000</c:v>
                </c:pt>
                <c:pt idx="8">
                  <c:v>150</c:v>
                </c:pt>
                <c:pt idx="9">
                  <c:v>2500</c:v>
                </c:pt>
                <c:pt idx="10">
                  <c:v>2500</c:v>
                </c:pt>
                <c:pt idx="11">
                  <c:v>900</c:v>
                </c:pt>
                <c:pt idx="12">
                  <c:v>2000</c:v>
                </c:pt>
                <c:pt idx="13">
                  <c:v>150</c:v>
                </c:pt>
                <c:pt idx="14">
                  <c:v>2500</c:v>
                </c:pt>
                <c:pt idx="15">
                  <c:v>900</c:v>
                </c:pt>
                <c:pt idx="16">
                  <c:v>2000</c:v>
                </c:pt>
                <c:pt idx="17">
                  <c:v>150</c:v>
                </c:pt>
                <c:pt idx="18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52-4B05-970E-9D4038510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160175"/>
        <c:axId val="1683160655"/>
      </c:lineChart>
      <c:catAx>
        <c:axId val="168316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160655"/>
        <c:crosses val="autoZero"/>
        <c:auto val="1"/>
        <c:lblAlgn val="ctr"/>
        <c:lblOffset val="100"/>
        <c:noMultiLvlLbl val="0"/>
      </c:catAx>
      <c:valAx>
        <c:axId val="168316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16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14</xdr:col>
      <xdr:colOff>358140</xdr:colOff>
      <xdr:row>21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A3768A-0B07-4D04-8670-EDAA3742C5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335280</xdr:colOff>
      <xdr:row>0</xdr:row>
      <xdr:rowOff>175260</xdr:rowOff>
    </xdr:from>
    <xdr:to>
      <xdr:col>10</xdr:col>
      <xdr:colOff>114300</xdr:colOff>
      <xdr:row>18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1D4B4A-C3FF-4ACB-B793-5B71DB13C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373380</xdr:colOff>
      <xdr:row>0</xdr:row>
      <xdr:rowOff>152400</xdr:rowOff>
    </xdr:from>
    <xdr:to>
      <xdr:col>19</xdr:col>
      <xdr:colOff>533400</xdr:colOff>
      <xdr:row>17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6ACDC5-FB75-4F58-B84E-D298DAA11D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10</xdr:col>
      <xdr:colOff>91440</xdr:colOff>
      <xdr:row>36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7BFC5D-725C-49CA-80A6-5685FA422B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41.405133564818" createdVersion="8" refreshedVersion="8" minRefreshableVersion="3" recordCount="20" xr:uid="{75749111-94DA-49DC-96C4-B5F5E68E8071}">
  <cacheSource type="worksheet">
    <worksheetSource ref="D2:H22" sheet="Clean data"/>
  </cacheSource>
  <cacheFields count="5">
    <cacheField name="MAIZE SEEDS" numFmtId="0">
      <sharedItems containsBlank="1" count="5">
        <s v="FERTILIZER "/>
        <s v="PESTICIDE"/>
        <s v="MIXTURE"/>
        <s v="MAIZE SEEDS"/>
        <m/>
      </sharedItems>
    </cacheField>
    <cacheField name="SEEDS" numFmtId="0">
      <sharedItems containsBlank="1" count="5">
        <s v="FERTILIZER"/>
        <s v="CHEMICALS"/>
        <s v="ANIMAL FEEDS"/>
        <s v="SEEDS"/>
        <m/>
      </sharedItems>
    </cacheField>
    <cacheField name="20" numFmtId="0">
      <sharedItems containsString="0" containsBlank="1" containsNumber="1" containsInteger="1" minValue="10" maxValue="20"/>
    </cacheField>
    <cacheField name="150.0" numFmtId="164">
      <sharedItems containsString="0" containsBlank="1" containsNumber="1" containsInteger="1" minValue="150" maxValue="29850"/>
    </cacheField>
    <cacheField name=" 3,000.0 " numFmtId="0">
      <sharedItems containsString="0" containsBlank="1" containsNumber="1" containsInteger="1" minValue="1500" maxValue="44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41.412418865744" createdVersion="8" refreshedVersion="8" minRefreshableVersion="3" recordCount="21" xr:uid="{DC991CC6-8229-494B-8F26-6133F4A5AD3F}">
  <cacheSource type="worksheet">
    <worksheetSource ref="A1:H22" sheet="Clean data"/>
  </cacheSource>
  <cacheFields count="8">
    <cacheField name="DATE" numFmtId="0">
      <sharedItems containsDate="1" containsBlank="1" containsMixedTypes="1" minDate="2025-06-03T00:00:00" maxDate="2026-11-08T00:00:00"/>
    </cacheField>
    <cacheField name="MONTH" numFmtId="0">
      <sharedItems containsBlank="1"/>
    </cacheField>
    <cacheField name="REGION " numFmtId="0">
      <sharedItems containsBlank="1"/>
    </cacheField>
    <cacheField name="PRODUCT" numFmtId="0">
      <sharedItems containsBlank="1"/>
    </cacheField>
    <cacheField name="CATEGORY" numFmtId="0">
      <sharedItems containsBlank="1" count="5">
        <s v="SEEDS"/>
        <s v="FERTILIZER"/>
        <s v="CHEMICALS"/>
        <s v="ANIMAL FEEDS"/>
        <m/>
      </sharedItems>
    </cacheField>
    <cacheField name="UNIT SOLD" numFmtId="0">
      <sharedItems containsString="0" containsBlank="1" containsNumber="1" containsInteger="1" minValue="10" maxValue="20"/>
    </cacheField>
    <cacheField name="UNIT PRICE" numFmtId="164">
      <sharedItems containsString="0" containsBlank="1" containsNumber="1" containsInteger="1" minValue="150" maxValue="29850"/>
    </cacheField>
    <cacheField name="REVENUE" numFmtId="0">
      <sharedItems containsString="0" containsBlank="1" containsNumber="1" containsInteger="1" minValue="1500" maxValue="44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41.415914583333" createdVersion="8" refreshedVersion="8" minRefreshableVersion="3" recordCount="23" xr:uid="{7D18CFE1-1D1C-4DAF-936E-3D16EA802858}">
  <cacheSource type="worksheet">
    <worksheetSource ref="C1:H1048576" sheet="Clean data"/>
  </cacheSource>
  <cacheFields count="6">
    <cacheField name="REGION " numFmtId="0">
      <sharedItems containsBlank="1" count="5">
        <s v="MERU TOWN"/>
        <s v="NKUBU"/>
        <s v="TIMAU"/>
        <s v="MAUA"/>
        <m/>
      </sharedItems>
    </cacheField>
    <cacheField name="PRODUCT" numFmtId="0">
      <sharedItems containsBlank="1"/>
    </cacheField>
    <cacheField name="CATEGORY" numFmtId="0">
      <sharedItems containsBlank="1"/>
    </cacheField>
    <cacheField name="UNIT SOLD" numFmtId="0">
      <sharedItems containsString="0" containsBlank="1" containsNumber="1" containsInteger="1" minValue="10" maxValue="20"/>
    </cacheField>
    <cacheField name="UNIT PRICE" numFmtId="164">
      <sharedItems containsString="0" containsBlank="1" containsNumber="1" minValue="150" maxValue="29850"/>
    </cacheField>
    <cacheField name="REVENUE" numFmtId="0">
      <sharedItems containsString="0" containsBlank="1" containsNumber="1" containsInteger="1" minValue="1500" maxValue="44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n v="15"/>
    <n v="2500"/>
    <n v="37500"/>
  </r>
  <r>
    <x v="1"/>
    <x v="1"/>
    <n v="10"/>
    <n v="900"/>
    <n v="9000"/>
  </r>
  <r>
    <x v="2"/>
    <x v="2"/>
    <n v="10"/>
    <n v="2000"/>
    <n v="20000"/>
  </r>
  <r>
    <x v="3"/>
    <x v="3"/>
    <n v="10"/>
    <n v="150"/>
    <n v="1500"/>
  </r>
  <r>
    <x v="0"/>
    <x v="0"/>
    <n v="10"/>
    <n v="2500"/>
    <n v="25000"/>
  </r>
  <r>
    <x v="1"/>
    <x v="1"/>
    <n v="20"/>
    <n v="900"/>
    <n v="18000"/>
  </r>
  <r>
    <x v="2"/>
    <x v="2"/>
    <n v="15"/>
    <n v="2000"/>
    <n v="30000"/>
  </r>
  <r>
    <x v="3"/>
    <x v="3"/>
    <n v="15"/>
    <n v="150"/>
    <n v="2250"/>
  </r>
  <r>
    <x v="0"/>
    <x v="0"/>
    <n v="20"/>
    <n v="2500"/>
    <n v="50000"/>
  </r>
  <r>
    <x v="0"/>
    <x v="0"/>
    <n v="10"/>
    <n v="2500"/>
    <n v="25000"/>
  </r>
  <r>
    <x v="1"/>
    <x v="1"/>
    <n v="15"/>
    <n v="900"/>
    <n v="13500"/>
  </r>
  <r>
    <x v="2"/>
    <x v="2"/>
    <n v="20"/>
    <n v="2000"/>
    <n v="40000"/>
  </r>
  <r>
    <x v="3"/>
    <x v="3"/>
    <n v="15"/>
    <n v="150"/>
    <n v="2250"/>
  </r>
  <r>
    <x v="0"/>
    <x v="0"/>
    <n v="20"/>
    <n v="2500"/>
    <n v="50000"/>
  </r>
  <r>
    <x v="1"/>
    <x v="1"/>
    <n v="15"/>
    <n v="900"/>
    <n v="13500"/>
  </r>
  <r>
    <x v="2"/>
    <x v="2"/>
    <n v="20"/>
    <n v="2000"/>
    <n v="40000"/>
  </r>
  <r>
    <x v="3"/>
    <x v="3"/>
    <n v="20"/>
    <n v="150"/>
    <n v="3000"/>
  </r>
  <r>
    <x v="0"/>
    <x v="0"/>
    <n v="10"/>
    <n v="2500"/>
    <n v="25000"/>
  </r>
  <r>
    <x v="4"/>
    <x v="4"/>
    <m/>
    <m/>
    <m/>
  </r>
  <r>
    <x v="4"/>
    <x v="4"/>
    <m/>
    <n v="29850"/>
    <n v="446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d v="2025-12-02T00:00:00"/>
    <s v="DECEMBER"/>
    <s v="MERU TOWN"/>
    <s v="MAIZE SEEDS"/>
    <x v="0"/>
    <n v="20"/>
    <n v="150"/>
    <n v="3000"/>
  </r>
  <r>
    <d v="2025-06-03T00:00:00"/>
    <s v="JUNE"/>
    <s v="NKUBU"/>
    <s v="FERTILIZER "/>
    <x v="1"/>
    <n v="15"/>
    <n v="2500"/>
    <n v="37500"/>
  </r>
  <r>
    <d v="2025-12-02T00:00:00"/>
    <s v="DECEMBER"/>
    <s v="TIMAU"/>
    <s v="PESTICIDE"/>
    <x v="2"/>
    <n v="10"/>
    <n v="900"/>
    <n v="9000"/>
  </r>
  <r>
    <d v="2025-06-04T00:00:00"/>
    <s v="JUNE"/>
    <s v="MAUA"/>
    <s v="MIXTURE"/>
    <x v="3"/>
    <n v="10"/>
    <n v="2000"/>
    <n v="20000"/>
  </r>
  <r>
    <d v="2025-11-03T00:00:00"/>
    <s v="NOVEMBER"/>
    <s v="NKUBU"/>
    <s v="MAIZE SEEDS"/>
    <x v="0"/>
    <n v="10"/>
    <n v="150"/>
    <n v="1500"/>
  </r>
  <r>
    <d v="2025-10-02T00:00:00"/>
    <s v="OCTOBER"/>
    <s v="TIMAU"/>
    <s v="FERTILIZER "/>
    <x v="1"/>
    <n v="10"/>
    <n v="2500"/>
    <n v="25000"/>
  </r>
  <r>
    <d v="2025-08-02T00:00:00"/>
    <s v="AUGUST"/>
    <s v="MERU TOWN"/>
    <s v="PESTICIDE"/>
    <x v="2"/>
    <n v="20"/>
    <n v="900"/>
    <n v="18000"/>
  </r>
  <r>
    <d v="2025-11-05T00:00:00"/>
    <s v="NOVEMBER"/>
    <s v="MAUA"/>
    <s v="MIXTURE"/>
    <x v="3"/>
    <n v="15"/>
    <n v="2000"/>
    <n v="30000"/>
  </r>
  <r>
    <d v="2025-10-05T00:00:00"/>
    <s v="OCTOBER"/>
    <s v="MAUA"/>
    <s v="MAIZE SEEDS"/>
    <x v="0"/>
    <n v="15"/>
    <n v="150"/>
    <n v="2250"/>
  </r>
  <r>
    <d v="2025-10-06T00:00:00"/>
    <s v="OCTOBER"/>
    <s v="MERU TOWN"/>
    <s v="FERTILIZER "/>
    <x v="1"/>
    <n v="20"/>
    <n v="2500"/>
    <n v="50000"/>
  </r>
  <r>
    <d v="2025-10-07T00:00:00"/>
    <s v="OCTOBER"/>
    <s v="TIMAU"/>
    <s v="FERTILIZER "/>
    <x v="1"/>
    <n v="10"/>
    <n v="2500"/>
    <n v="25000"/>
  </r>
  <r>
    <d v="2025-10-08T00:00:00"/>
    <s v="OCTOBER"/>
    <s v="NKUBU"/>
    <s v="PESTICIDE"/>
    <x v="2"/>
    <n v="15"/>
    <n v="900"/>
    <n v="13500"/>
  </r>
  <r>
    <d v="2025-10-09T00:00:00"/>
    <s v="OCTOBER"/>
    <s v="MAUA"/>
    <s v="MIXTURE"/>
    <x v="3"/>
    <n v="20"/>
    <n v="2000"/>
    <n v="40000"/>
  </r>
  <r>
    <d v="2025-10-02T00:00:00"/>
    <s v="OCTOBER"/>
    <s v="MERU TOWN"/>
    <s v="MAIZE SEEDS"/>
    <x v="0"/>
    <n v="15"/>
    <n v="150"/>
    <n v="2250"/>
  </r>
  <r>
    <d v="2026-11-03T00:00:00"/>
    <s v="NOVEMBER"/>
    <s v="TIMAU"/>
    <s v="FERTILIZER "/>
    <x v="1"/>
    <n v="20"/>
    <n v="2500"/>
    <n v="50000"/>
  </r>
  <r>
    <d v="2026-11-04T00:00:00"/>
    <s v="NOVEMBER"/>
    <s v="NKUBU"/>
    <s v="PESTICIDE"/>
    <x v="2"/>
    <n v="15"/>
    <n v="900"/>
    <n v="13500"/>
  </r>
  <r>
    <d v="2026-11-05T00:00:00"/>
    <s v="NOVEMBER"/>
    <s v="MAUA"/>
    <s v="MIXTURE"/>
    <x v="3"/>
    <n v="20"/>
    <n v="2000"/>
    <n v="40000"/>
  </r>
  <r>
    <d v="2026-11-06T00:00:00"/>
    <s v="NOVEMBER"/>
    <s v="MERU TOWN"/>
    <s v="MAIZE SEEDS"/>
    <x v="0"/>
    <n v="20"/>
    <n v="150"/>
    <n v="3000"/>
  </r>
  <r>
    <d v="2026-11-07T00:00:00"/>
    <s v="NOVEMBER"/>
    <s v="TIMAU"/>
    <s v="FERTILIZER "/>
    <x v="1"/>
    <n v="10"/>
    <n v="2500"/>
    <n v="25000"/>
  </r>
  <r>
    <m/>
    <m/>
    <m/>
    <m/>
    <x v="4"/>
    <m/>
    <m/>
    <m/>
  </r>
  <r>
    <s v="Total"/>
    <m/>
    <m/>
    <m/>
    <x v="4"/>
    <m/>
    <n v="29850"/>
    <n v="446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s v="MAIZE SEEDS"/>
    <s v="SEEDS"/>
    <n v="20"/>
    <n v="150"/>
    <n v="3000"/>
  </r>
  <r>
    <x v="1"/>
    <s v="FERTILIZER "/>
    <s v="FERTILIZER"/>
    <n v="15"/>
    <n v="2500"/>
    <n v="37500"/>
  </r>
  <r>
    <x v="2"/>
    <s v="PESTICIDE"/>
    <s v="CHEMICALS"/>
    <n v="10"/>
    <n v="900"/>
    <n v="9000"/>
  </r>
  <r>
    <x v="3"/>
    <s v="MIXTURE"/>
    <s v="ANIMAL FEEDS"/>
    <n v="10"/>
    <n v="2000"/>
    <n v="20000"/>
  </r>
  <r>
    <x v="1"/>
    <s v="MAIZE SEEDS"/>
    <s v="SEEDS"/>
    <n v="10"/>
    <n v="150"/>
    <n v="1500"/>
  </r>
  <r>
    <x v="2"/>
    <s v="FERTILIZER "/>
    <s v="FERTILIZER"/>
    <n v="10"/>
    <n v="2500"/>
    <n v="25000"/>
  </r>
  <r>
    <x v="0"/>
    <s v="PESTICIDE"/>
    <s v="CHEMICALS"/>
    <n v="20"/>
    <n v="900"/>
    <n v="18000"/>
  </r>
  <r>
    <x v="3"/>
    <s v="MIXTURE"/>
    <s v="ANIMAL FEEDS"/>
    <n v="15"/>
    <n v="2000"/>
    <n v="30000"/>
  </r>
  <r>
    <x v="3"/>
    <s v="MAIZE SEEDS"/>
    <s v="SEEDS"/>
    <n v="15"/>
    <n v="150"/>
    <n v="2250"/>
  </r>
  <r>
    <x v="0"/>
    <s v="FERTILIZER "/>
    <s v="FERTILIZER"/>
    <n v="20"/>
    <n v="2500"/>
    <n v="50000"/>
  </r>
  <r>
    <x v="2"/>
    <s v="FERTILIZER "/>
    <s v="FERTILIZER"/>
    <n v="10"/>
    <n v="2500"/>
    <n v="25000"/>
  </r>
  <r>
    <x v="1"/>
    <s v="PESTICIDE"/>
    <s v="CHEMICALS"/>
    <n v="15"/>
    <n v="900"/>
    <n v="13500"/>
  </r>
  <r>
    <x v="3"/>
    <s v="MIXTURE"/>
    <s v="ANIMAL FEEDS"/>
    <n v="20"/>
    <n v="2000"/>
    <n v="40000"/>
  </r>
  <r>
    <x v="0"/>
    <s v="MAIZE SEEDS"/>
    <s v="SEEDS"/>
    <n v="15"/>
    <n v="150"/>
    <n v="2250"/>
  </r>
  <r>
    <x v="2"/>
    <s v="FERTILIZER "/>
    <s v="FERTILIZER"/>
    <n v="20"/>
    <n v="2500"/>
    <n v="50000"/>
  </r>
  <r>
    <x v="1"/>
    <s v="PESTICIDE"/>
    <s v="CHEMICALS"/>
    <n v="15"/>
    <n v="900"/>
    <n v="13500"/>
  </r>
  <r>
    <x v="3"/>
    <s v="MIXTURE"/>
    <s v="ANIMAL FEEDS"/>
    <n v="20"/>
    <n v="2000"/>
    <n v="40000"/>
  </r>
  <r>
    <x v="0"/>
    <s v="MAIZE SEEDS"/>
    <s v="SEEDS"/>
    <n v="20"/>
    <n v="150"/>
    <n v="3000"/>
  </r>
  <r>
    <x v="2"/>
    <s v="FERTILIZER "/>
    <s v="FERTILIZER"/>
    <n v="10"/>
    <n v="2500"/>
    <n v="25000"/>
  </r>
  <r>
    <x v="4"/>
    <m/>
    <m/>
    <m/>
    <m/>
    <m/>
  </r>
  <r>
    <x v="4"/>
    <m/>
    <m/>
    <m/>
    <n v="29850"/>
    <n v="446000"/>
  </r>
  <r>
    <x v="4"/>
    <m/>
    <m/>
    <m/>
    <n v="1439.4736842105262"/>
    <n v="21500"/>
  </r>
  <r>
    <x v="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9D8A07-5C22-45A0-A163-EE84BAE3E23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L5:O14" firstHeaderRow="0" firstDataRow="1" firstDataCol="1"/>
  <pivotFields count="5">
    <pivotField axis="axisRow" showAll="0">
      <items count="6">
        <item x="0"/>
        <item x="3"/>
        <item x="2"/>
        <item x="1"/>
        <item n="TOTAL" x="4"/>
        <item t="default"/>
      </items>
    </pivotField>
    <pivotField axis="axisRow" showAll="0">
      <items count="6">
        <item x="2"/>
        <item x="1"/>
        <item x="0"/>
        <item x="3"/>
        <item h="1" x="4"/>
        <item t="default"/>
      </items>
    </pivotField>
    <pivotField dataField="1" showAll="0"/>
    <pivotField dataField="1" showAll="0"/>
    <pivotField dataField="1" showAll="0"/>
  </pivotFields>
  <rowFields count="2">
    <field x="0"/>
    <field x="1"/>
  </rowFields>
  <rowItems count="9">
    <i>
      <x/>
    </i>
    <i r="1">
      <x v="2"/>
    </i>
    <i>
      <x v="1"/>
    </i>
    <i r="1">
      <x v="3"/>
    </i>
    <i>
      <x v="2"/>
    </i>
    <i r="1">
      <x/>
    </i>
    <i>
      <x v="3"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20" fld="2" baseField="0" baseItem="0"/>
    <dataField name="Sum of 150.0" fld="3" baseField="0" baseItem="0"/>
    <dataField name="Sum of  3,000.0 " fld="4" baseField="0" baseItem="0"/>
  </dataField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48E7CC-C98C-4D28-BBAB-F55D57E597B8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6">
    <pivotField axis="axisRow" showAll="0">
      <items count="6">
        <item x="3"/>
        <item x="0"/>
        <item x="1"/>
        <item x="2"/>
        <item n="SUM" x="4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54511-9573-4AE6-A7F8-FE42670A3E9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8">
    <pivotField showAll="0"/>
    <pivotField showAll="0"/>
    <pivotField showAll="0"/>
    <pivotField showAll="0"/>
    <pivotField axis="axisRow" showAll="0">
      <items count="6">
        <item x="3"/>
        <item x="2"/>
        <item x="1"/>
        <item x="0"/>
        <item n="SUM" x="4"/>
        <item t="default"/>
      </items>
    </pivotField>
    <pivotField showAll="0"/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EF9EE1-3ED8-41C1-89DF-9061D812EC9F}" name="Table2" displayName="Table2" ref="M20:O25" totalsRowShown="0">
  <autoFilter ref="M20:O25" xr:uid="{85EF9EE1-3ED8-41C1-89DF-9061D812EC9F}">
    <filterColumn colId="2">
      <filters blank="1"/>
    </filterColumn>
  </autoFilter>
  <tableColumns count="3">
    <tableColumn id="1" xr3:uid="{54CC9296-943B-47F2-BA39-7B5CBB9C385D}" name="TOP PRODUCT"/>
    <tableColumn id="2" xr3:uid="{83252E07-0921-490A-AE0D-3BE3BB2939FB}" name="BEST REGION"/>
    <tableColumn id="3" xr3:uid="{73E97095-B17A-4F8C-9F54-C7B8DF4FDC3A}" name="TOTAL 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135C-C2E4-460C-88F0-923361B58170}">
  <dimension ref="A1:I25"/>
  <sheetViews>
    <sheetView workbookViewId="0">
      <selection activeCell="I25" sqref="I25"/>
    </sheetView>
  </sheetViews>
  <sheetFormatPr defaultRowHeight="14.4" x14ac:dyDescent="0.3"/>
  <cols>
    <col min="1" max="1" width="9.5546875" bestFit="1" customWidth="1"/>
    <col min="2" max="3" width="11.44140625" customWidth="1"/>
    <col min="4" max="4" width="12.6640625" customWidth="1"/>
    <col min="5" max="5" width="10.5546875" customWidth="1"/>
    <col min="6" max="6" width="15.33203125" customWidth="1"/>
    <col min="7" max="7" width="20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13</v>
      </c>
      <c r="E1" t="s">
        <v>3</v>
      </c>
      <c r="F1" t="s">
        <v>4</v>
      </c>
      <c r="G1" t="s">
        <v>18</v>
      </c>
    </row>
    <row r="2" spans="1:7" x14ac:dyDescent="0.3">
      <c r="A2" s="1">
        <v>45993</v>
      </c>
      <c r="B2" t="s">
        <v>5</v>
      </c>
      <c r="C2" t="s">
        <v>14</v>
      </c>
      <c r="D2" t="s">
        <v>9</v>
      </c>
      <c r="E2">
        <v>20</v>
      </c>
      <c r="F2">
        <v>150</v>
      </c>
      <c r="G2">
        <f>E2*F2</f>
        <v>3000</v>
      </c>
    </row>
    <row r="3" spans="1:7" x14ac:dyDescent="0.3">
      <c r="A3" s="1">
        <v>45811</v>
      </c>
      <c r="B3" t="s">
        <v>6</v>
      </c>
      <c r="C3" t="s">
        <v>15</v>
      </c>
      <c r="D3" t="s">
        <v>10</v>
      </c>
      <c r="E3">
        <v>15</v>
      </c>
      <c r="F3">
        <v>2500</v>
      </c>
      <c r="G3">
        <f t="shared" ref="G3:G20" si="0">E3*F3</f>
        <v>37500</v>
      </c>
    </row>
    <row r="4" spans="1:7" x14ac:dyDescent="0.3">
      <c r="A4" s="1">
        <v>45993</v>
      </c>
      <c r="B4" t="s">
        <v>7</v>
      </c>
      <c r="C4" t="s">
        <v>16</v>
      </c>
      <c r="D4" t="s">
        <v>11</v>
      </c>
      <c r="E4">
        <v>10</v>
      </c>
      <c r="F4">
        <v>900</v>
      </c>
      <c r="G4">
        <f t="shared" si="0"/>
        <v>9000</v>
      </c>
    </row>
    <row r="5" spans="1:7" x14ac:dyDescent="0.3">
      <c r="A5" s="1">
        <v>45812</v>
      </c>
      <c r="B5" t="s">
        <v>8</v>
      </c>
      <c r="C5" t="s">
        <v>17</v>
      </c>
      <c r="D5" t="s">
        <v>12</v>
      </c>
      <c r="E5">
        <v>10</v>
      </c>
      <c r="F5">
        <v>2000</v>
      </c>
      <c r="G5">
        <f t="shared" si="0"/>
        <v>20000</v>
      </c>
    </row>
    <row r="6" spans="1:7" x14ac:dyDescent="0.3">
      <c r="A6" s="1">
        <v>45964</v>
      </c>
      <c r="B6" t="s">
        <v>6</v>
      </c>
      <c r="C6" t="s">
        <v>14</v>
      </c>
      <c r="D6" t="s">
        <v>9</v>
      </c>
      <c r="E6">
        <v>10</v>
      </c>
      <c r="F6">
        <v>150</v>
      </c>
      <c r="G6">
        <f t="shared" si="0"/>
        <v>1500</v>
      </c>
    </row>
    <row r="7" spans="1:7" x14ac:dyDescent="0.3">
      <c r="A7" s="1">
        <v>45932</v>
      </c>
      <c r="B7" t="s">
        <v>7</v>
      </c>
      <c r="C7" t="s">
        <v>15</v>
      </c>
      <c r="D7" t="s">
        <v>10</v>
      </c>
      <c r="E7">
        <v>10</v>
      </c>
      <c r="F7">
        <v>2500</v>
      </c>
      <c r="G7">
        <f t="shared" si="0"/>
        <v>25000</v>
      </c>
    </row>
    <row r="8" spans="1:7" x14ac:dyDescent="0.3">
      <c r="A8" s="1">
        <v>45871</v>
      </c>
      <c r="B8" t="s">
        <v>5</v>
      </c>
      <c r="C8" t="s">
        <v>16</v>
      </c>
      <c r="D8" t="s">
        <v>11</v>
      </c>
      <c r="E8">
        <v>20</v>
      </c>
      <c r="F8">
        <v>900</v>
      </c>
      <c r="G8">
        <f t="shared" si="0"/>
        <v>18000</v>
      </c>
    </row>
    <row r="9" spans="1:7" x14ac:dyDescent="0.3">
      <c r="A9" s="1">
        <v>45966</v>
      </c>
      <c r="B9" t="s">
        <v>8</v>
      </c>
      <c r="C9" t="s">
        <v>17</v>
      </c>
      <c r="D9" t="s">
        <v>12</v>
      </c>
      <c r="E9">
        <v>15</v>
      </c>
      <c r="F9">
        <v>2000</v>
      </c>
      <c r="G9">
        <f t="shared" si="0"/>
        <v>30000</v>
      </c>
    </row>
    <row r="10" spans="1:7" x14ac:dyDescent="0.3">
      <c r="A10" s="1">
        <v>45935</v>
      </c>
      <c r="B10" t="s">
        <v>8</v>
      </c>
      <c r="C10" t="s">
        <v>14</v>
      </c>
      <c r="D10" t="s">
        <v>9</v>
      </c>
      <c r="E10">
        <v>15</v>
      </c>
      <c r="F10">
        <v>150</v>
      </c>
      <c r="G10">
        <f t="shared" si="0"/>
        <v>2250</v>
      </c>
    </row>
    <row r="11" spans="1:7" x14ac:dyDescent="0.3">
      <c r="A11" s="1">
        <v>45936</v>
      </c>
      <c r="B11" t="s">
        <v>5</v>
      </c>
      <c r="C11" t="s">
        <v>15</v>
      </c>
      <c r="D11" t="s">
        <v>10</v>
      </c>
      <c r="E11">
        <v>20</v>
      </c>
      <c r="F11">
        <v>2500</v>
      </c>
      <c r="G11">
        <f t="shared" si="0"/>
        <v>50000</v>
      </c>
    </row>
    <row r="12" spans="1:7" x14ac:dyDescent="0.3">
      <c r="A12" s="1">
        <v>45937</v>
      </c>
      <c r="B12" t="s">
        <v>7</v>
      </c>
      <c r="C12" t="s">
        <v>15</v>
      </c>
      <c r="D12" t="s">
        <v>10</v>
      </c>
      <c r="E12">
        <v>10</v>
      </c>
      <c r="F12">
        <v>2500</v>
      </c>
      <c r="G12">
        <f t="shared" si="0"/>
        <v>25000</v>
      </c>
    </row>
    <row r="13" spans="1:7" x14ac:dyDescent="0.3">
      <c r="A13" s="1">
        <v>45938</v>
      </c>
      <c r="B13" t="s">
        <v>6</v>
      </c>
      <c r="C13" t="s">
        <v>16</v>
      </c>
      <c r="D13" t="s">
        <v>11</v>
      </c>
      <c r="E13">
        <v>15</v>
      </c>
      <c r="F13">
        <v>900</v>
      </c>
      <c r="G13">
        <f t="shared" si="0"/>
        <v>13500</v>
      </c>
    </row>
    <row r="14" spans="1:7" x14ac:dyDescent="0.3">
      <c r="A14" s="1">
        <v>45939</v>
      </c>
      <c r="B14" t="s">
        <v>8</v>
      </c>
      <c r="C14" t="s">
        <v>17</v>
      </c>
      <c r="D14" t="s">
        <v>12</v>
      </c>
      <c r="E14">
        <v>20</v>
      </c>
      <c r="F14">
        <v>2000</v>
      </c>
      <c r="G14">
        <f t="shared" si="0"/>
        <v>40000</v>
      </c>
    </row>
    <row r="15" spans="1:7" x14ac:dyDescent="0.3">
      <c r="A15" s="1">
        <v>45932</v>
      </c>
      <c r="B15" t="s">
        <v>5</v>
      </c>
      <c r="C15" t="s">
        <v>14</v>
      </c>
      <c r="D15" t="s">
        <v>9</v>
      </c>
      <c r="E15">
        <v>15</v>
      </c>
      <c r="F15">
        <v>150</v>
      </c>
      <c r="G15">
        <f t="shared" si="0"/>
        <v>2250</v>
      </c>
    </row>
    <row r="16" spans="1:7" x14ac:dyDescent="0.3">
      <c r="A16" s="1">
        <v>46329</v>
      </c>
      <c r="B16" t="s">
        <v>7</v>
      </c>
      <c r="C16" t="s">
        <v>15</v>
      </c>
      <c r="D16" t="s">
        <v>10</v>
      </c>
      <c r="E16">
        <v>20</v>
      </c>
      <c r="F16">
        <v>2500</v>
      </c>
      <c r="G16">
        <f t="shared" si="0"/>
        <v>50000</v>
      </c>
    </row>
    <row r="17" spans="1:9" x14ac:dyDescent="0.3">
      <c r="A17" s="1">
        <v>46330</v>
      </c>
      <c r="B17" t="s">
        <v>6</v>
      </c>
      <c r="C17" t="s">
        <v>16</v>
      </c>
      <c r="D17" t="s">
        <v>11</v>
      </c>
      <c r="E17">
        <v>15</v>
      </c>
      <c r="F17">
        <v>900</v>
      </c>
      <c r="G17">
        <f t="shared" si="0"/>
        <v>13500</v>
      </c>
    </row>
    <row r="18" spans="1:9" x14ac:dyDescent="0.3">
      <c r="A18" s="1">
        <v>46331</v>
      </c>
      <c r="B18" t="s">
        <v>8</v>
      </c>
      <c r="C18" t="s">
        <v>17</v>
      </c>
      <c r="D18" t="s">
        <v>12</v>
      </c>
      <c r="E18">
        <v>20</v>
      </c>
      <c r="F18">
        <v>2000</v>
      </c>
      <c r="G18">
        <f t="shared" si="0"/>
        <v>40000</v>
      </c>
    </row>
    <row r="19" spans="1:9" x14ac:dyDescent="0.3">
      <c r="A19" s="1">
        <v>46332</v>
      </c>
      <c r="B19" t="s">
        <v>5</v>
      </c>
      <c r="C19" t="s">
        <v>14</v>
      </c>
      <c r="D19" t="s">
        <v>9</v>
      </c>
      <c r="E19">
        <v>20</v>
      </c>
      <c r="F19">
        <v>150</v>
      </c>
      <c r="G19">
        <f t="shared" si="0"/>
        <v>3000</v>
      </c>
    </row>
    <row r="20" spans="1:9" x14ac:dyDescent="0.3">
      <c r="A20" s="1">
        <v>46333</v>
      </c>
      <c r="B20" t="s">
        <v>7</v>
      </c>
      <c r="C20" t="s">
        <v>15</v>
      </c>
      <c r="D20" t="s">
        <v>10</v>
      </c>
      <c r="E20">
        <v>10</v>
      </c>
      <c r="F20">
        <v>2500</v>
      </c>
      <c r="G20">
        <f t="shared" si="0"/>
        <v>25000</v>
      </c>
    </row>
    <row r="25" spans="1:9" x14ac:dyDescent="0.3">
      <c r="I2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5DAB1-1DAD-4963-9D7F-C4EA3AA4216F}">
  <dimension ref="A1:O23"/>
  <sheetViews>
    <sheetView tabSelected="1" workbookViewId="0">
      <selection activeCell="J2" sqref="J2"/>
    </sheetView>
  </sheetViews>
  <sheetFormatPr defaultRowHeight="14.4" x14ac:dyDescent="0.3"/>
  <cols>
    <col min="1" max="2" width="11" customWidth="1"/>
    <col min="3" max="3" width="12" customWidth="1"/>
    <col min="4" max="4" width="11.5546875" customWidth="1"/>
    <col min="5" max="5" width="13.77734375" customWidth="1"/>
    <col min="6" max="6" width="14.88671875" customWidth="1"/>
    <col min="7" max="7" width="10.77734375" style="2" customWidth="1"/>
    <col min="8" max="8" width="10.88671875" style="3" customWidth="1"/>
    <col min="9" max="9" width="11.109375" customWidth="1"/>
    <col min="12" max="12" width="17.21875" bestFit="1" customWidth="1"/>
    <col min="13" max="13" width="9.44140625" bestFit="1" customWidth="1"/>
    <col min="14" max="14" width="12" bestFit="1" customWidth="1"/>
    <col min="15" max="15" width="14.5546875" bestFit="1" customWidth="1"/>
  </cols>
  <sheetData>
    <row r="1" spans="1:15" x14ac:dyDescent="0.3">
      <c r="A1" t="s">
        <v>0</v>
      </c>
      <c r="B1" t="s">
        <v>23</v>
      </c>
      <c r="C1" t="s">
        <v>1</v>
      </c>
      <c r="D1" t="s">
        <v>2</v>
      </c>
      <c r="E1" t="s">
        <v>13</v>
      </c>
      <c r="F1" t="s">
        <v>3</v>
      </c>
      <c r="G1" s="2" t="s">
        <v>4</v>
      </c>
      <c r="H1" s="3" t="s">
        <v>18</v>
      </c>
      <c r="I1" t="s">
        <v>39</v>
      </c>
    </row>
    <row r="2" spans="1:15" x14ac:dyDescent="0.3">
      <c r="A2" s="1">
        <v>45993</v>
      </c>
      <c r="B2" s="1" t="s">
        <v>24</v>
      </c>
      <c r="C2" t="s">
        <v>5</v>
      </c>
      <c r="D2" t="s">
        <v>14</v>
      </c>
      <c r="E2" t="s">
        <v>9</v>
      </c>
      <c r="F2">
        <v>20</v>
      </c>
      <c r="G2" s="8">
        <v>150</v>
      </c>
      <c r="H2" s="7">
        <f>F2*G2</f>
        <v>3000</v>
      </c>
      <c r="I2" s="7">
        <f>(H2-G2)</f>
        <v>2850</v>
      </c>
    </row>
    <row r="3" spans="1:15" x14ac:dyDescent="0.3">
      <c r="A3" s="1">
        <v>45811</v>
      </c>
      <c r="B3" s="1" t="s">
        <v>20</v>
      </c>
      <c r="C3" t="s">
        <v>6</v>
      </c>
      <c r="D3" t="s">
        <v>15</v>
      </c>
      <c r="E3" t="s">
        <v>10</v>
      </c>
      <c r="F3">
        <v>15</v>
      </c>
      <c r="G3" s="8">
        <v>2500</v>
      </c>
      <c r="H3" s="7">
        <f t="shared" ref="H3:H20" si="0">F3*G3</f>
        <v>37500</v>
      </c>
      <c r="I3" s="7">
        <f t="shared" ref="I3:I20" si="1">(H3-G3)</f>
        <v>35000</v>
      </c>
    </row>
    <row r="4" spans="1:15" x14ac:dyDescent="0.3">
      <c r="A4" s="1">
        <v>45993</v>
      </c>
      <c r="B4" s="1" t="s">
        <v>24</v>
      </c>
      <c r="C4" t="s">
        <v>7</v>
      </c>
      <c r="D4" t="s">
        <v>16</v>
      </c>
      <c r="E4" t="s">
        <v>11</v>
      </c>
      <c r="F4">
        <v>10</v>
      </c>
      <c r="G4" s="8">
        <v>900</v>
      </c>
      <c r="H4" s="7">
        <f t="shared" si="0"/>
        <v>9000</v>
      </c>
      <c r="I4" s="7">
        <f t="shared" si="1"/>
        <v>8100</v>
      </c>
    </row>
    <row r="5" spans="1:15" x14ac:dyDescent="0.3">
      <c r="A5" s="1">
        <v>45812</v>
      </c>
      <c r="B5" s="1" t="s">
        <v>20</v>
      </c>
      <c r="C5" t="s">
        <v>8</v>
      </c>
      <c r="D5" t="s">
        <v>17</v>
      </c>
      <c r="E5" t="s">
        <v>12</v>
      </c>
      <c r="F5">
        <v>10</v>
      </c>
      <c r="G5" s="8">
        <v>2000</v>
      </c>
      <c r="H5" s="7">
        <f t="shared" si="0"/>
        <v>20000</v>
      </c>
      <c r="I5" s="7">
        <f t="shared" si="1"/>
        <v>18000</v>
      </c>
      <c r="L5" s="4" t="s">
        <v>27</v>
      </c>
      <c r="M5" t="s">
        <v>29</v>
      </c>
      <c r="N5" t="s">
        <v>30</v>
      </c>
      <c r="O5" t="s">
        <v>31</v>
      </c>
    </row>
    <row r="6" spans="1:15" x14ac:dyDescent="0.3">
      <c r="A6" s="1">
        <v>45964</v>
      </c>
      <c r="B6" s="1" t="s">
        <v>21</v>
      </c>
      <c r="C6" t="s">
        <v>6</v>
      </c>
      <c r="D6" t="s">
        <v>14</v>
      </c>
      <c r="E6" t="s">
        <v>9</v>
      </c>
      <c r="F6">
        <v>10</v>
      </c>
      <c r="G6" s="8">
        <v>150</v>
      </c>
      <c r="H6" s="7">
        <f t="shared" si="0"/>
        <v>1500</v>
      </c>
      <c r="I6" s="7">
        <f t="shared" si="1"/>
        <v>1350</v>
      </c>
      <c r="L6" s="5" t="s">
        <v>15</v>
      </c>
      <c r="M6">
        <v>85</v>
      </c>
      <c r="N6">
        <v>15000</v>
      </c>
      <c r="O6">
        <v>212500</v>
      </c>
    </row>
    <row r="7" spans="1:15" x14ac:dyDescent="0.3">
      <c r="A7" s="1">
        <v>45932</v>
      </c>
      <c r="B7" s="1" t="s">
        <v>22</v>
      </c>
      <c r="C7" t="s">
        <v>7</v>
      </c>
      <c r="D7" t="s">
        <v>15</v>
      </c>
      <c r="E7" t="s">
        <v>10</v>
      </c>
      <c r="F7">
        <v>10</v>
      </c>
      <c r="G7" s="8">
        <v>2500</v>
      </c>
      <c r="H7" s="7">
        <f t="shared" si="0"/>
        <v>25000</v>
      </c>
      <c r="I7" s="7">
        <f t="shared" si="1"/>
        <v>22500</v>
      </c>
      <c r="L7" s="6" t="s">
        <v>10</v>
      </c>
      <c r="M7">
        <v>85</v>
      </c>
      <c r="N7">
        <v>15000</v>
      </c>
      <c r="O7">
        <v>212500</v>
      </c>
    </row>
    <row r="8" spans="1:15" x14ac:dyDescent="0.3">
      <c r="A8" s="1">
        <v>45871</v>
      </c>
      <c r="B8" s="1" t="s">
        <v>25</v>
      </c>
      <c r="C8" t="s">
        <v>5</v>
      </c>
      <c r="D8" t="s">
        <v>16</v>
      </c>
      <c r="E8" t="s">
        <v>11</v>
      </c>
      <c r="F8">
        <v>20</v>
      </c>
      <c r="G8" s="8">
        <v>900</v>
      </c>
      <c r="H8" s="7">
        <f t="shared" si="0"/>
        <v>18000</v>
      </c>
      <c r="I8" s="7">
        <f t="shared" si="1"/>
        <v>17100</v>
      </c>
      <c r="L8" s="5" t="s">
        <v>14</v>
      </c>
      <c r="M8">
        <v>60</v>
      </c>
      <c r="N8">
        <v>600</v>
      </c>
      <c r="O8">
        <v>9000</v>
      </c>
    </row>
    <row r="9" spans="1:15" x14ac:dyDescent="0.3">
      <c r="A9" s="1">
        <v>45966</v>
      </c>
      <c r="B9" s="1" t="s">
        <v>21</v>
      </c>
      <c r="C9" t="s">
        <v>8</v>
      </c>
      <c r="D9" t="s">
        <v>17</v>
      </c>
      <c r="E9" t="s">
        <v>12</v>
      </c>
      <c r="F9">
        <v>15</v>
      </c>
      <c r="G9" s="8">
        <v>2000</v>
      </c>
      <c r="H9" s="7">
        <f t="shared" si="0"/>
        <v>30000</v>
      </c>
      <c r="I9" s="7">
        <f t="shared" si="1"/>
        <v>28000</v>
      </c>
      <c r="L9" s="6" t="s">
        <v>9</v>
      </c>
      <c r="M9">
        <v>60</v>
      </c>
      <c r="N9">
        <v>600</v>
      </c>
      <c r="O9">
        <v>9000</v>
      </c>
    </row>
    <row r="10" spans="1:15" x14ac:dyDescent="0.3">
      <c r="A10" s="1">
        <v>45935</v>
      </c>
      <c r="B10" s="1" t="s">
        <v>22</v>
      </c>
      <c r="C10" t="s">
        <v>8</v>
      </c>
      <c r="D10" t="s">
        <v>14</v>
      </c>
      <c r="E10" t="s">
        <v>9</v>
      </c>
      <c r="F10">
        <v>15</v>
      </c>
      <c r="G10" s="8">
        <v>150</v>
      </c>
      <c r="H10" s="7">
        <f t="shared" si="0"/>
        <v>2250</v>
      </c>
      <c r="I10" s="7">
        <f t="shared" si="1"/>
        <v>2100</v>
      </c>
      <c r="L10" s="5" t="s">
        <v>17</v>
      </c>
      <c r="M10">
        <v>65</v>
      </c>
      <c r="N10">
        <v>8000</v>
      </c>
      <c r="O10">
        <v>130000</v>
      </c>
    </row>
    <row r="11" spans="1:15" x14ac:dyDescent="0.3">
      <c r="A11" s="1">
        <v>45936</v>
      </c>
      <c r="B11" s="1" t="s">
        <v>22</v>
      </c>
      <c r="C11" t="s">
        <v>5</v>
      </c>
      <c r="D11" t="s">
        <v>15</v>
      </c>
      <c r="E11" t="s">
        <v>10</v>
      </c>
      <c r="F11">
        <v>20</v>
      </c>
      <c r="G11" s="8">
        <v>2500</v>
      </c>
      <c r="H11" s="7">
        <f t="shared" si="0"/>
        <v>50000</v>
      </c>
      <c r="I11" s="7">
        <f t="shared" si="1"/>
        <v>47500</v>
      </c>
      <c r="L11" s="6" t="s">
        <v>12</v>
      </c>
      <c r="M11">
        <v>65</v>
      </c>
      <c r="N11">
        <v>8000</v>
      </c>
      <c r="O11">
        <v>130000</v>
      </c>
    </row>
    <row r="12" spans="1:15" x14ac:dyDescent="0.3">
      <c r="A12" s="1">
        <v>45937</v>
      </c>
      <c r="B12" s="1" t="s">
        <v>22</v>
      </c>
      <c r="C12" t="s">
        <v>7</v>
      </c>
      <c r="D12" t="s">
        <v>15</v>
      </c>
      <c r="E12" t="s">
        <v>10</v>
      </c>
      <c r="F12">
        <v>10</v>
      </c>
      <c r="G12" s="8">
        <v>2500</v>
      </c>
      <c r="H12" s="7">
        <f t="shared" si="0"/>
        <v>25000</v>
      </c>
      <c r="I12" s="7">
        <f t="shared" si="1"/>
        <v>22500</v>
      </c>
      <c r="L12" s="5" t="s">
        <v>16</v>
      </c>
      <c r="M12">
        <v>60</v>
      </c>
      <c r="N12">
        <v>3600</v>
      </c>
      <c r="O12">
        <v>54000</v>
      </c>
    </row>
    <row r="13" spans="1:15" x14ac:dyDescent="0.3">
      <c r="A13" s="1">
        <v>45938</v>
      </c>
      <c r="B13" s="1" t="s">
        <v>22</v>
      </c>
      <c r="C13" t="s">
        <v>6</v>
      </c>
      <c r="D13" t="s">
        <v>16</v>
      </c>
      <c r="E13" t="s">
        <v>11</v>
      </c>
      <c r="F13">
        <v>15</v>
      </c>
      <c r="G13" s="8">
        <v>900</v>
      </c>
      <c r="H13" s="7">
        <f t="shared" si="0"/>
        <v>13500</v>
      </c>
      <c r="I13" s="7">
        <f t="shared" si="1"/>
        <v>12600</v>
      </c>
      <c r="L13" s="6" t="s">
        <v>11</v>
      </c>
      <c r="M13">
        <v>60</v>
      </c>
      <c r="N13">
        <v>3600</v>
      </c>
      <c r="O13">
        <v>54000</v>
      </c>
    </row>
    <row r="14" spans="1:15" x14ac:dyDescent="0.3">
      <c r="A14" s="1">
        <v>45939</v>
      </c>
      <c r="B14" s="1" t="s">
        <v>22</v>
      </c>
      <c r="C14" t="s">
        <v>8</v>
      </c>
      <c r="D14" t="s">
        <v>17</v>
      </c>
      <c r="E14" t="s">
        <v>12</v>
      </c>
      <c r="F14">
        <v>20</v>
      </c>
      <c r="G14" s="8">
        <v>2000</v>
      </c>
      <c r="H14" s="7">
        <f t="shared" si="0"/>
        <v>40000</v>
      </c>
      <c r="I14" s="7">
        <f t="shared" si="1"/>
        <v>38000</v>
      </c>
      <c r="L14" s="5" t="s">
        <v>28</v>
      </c>
      <c r="M14">
        <v>270</v>
      </c>
      <c r="N14">
        <v>27200</v>
      </c>
      <c r="O14">
        <v>405500</v>
      </c>
    </row>
    <row r="15" spans="1:15" x14ac:dyDescent="0.3">
      <c r="A15" s="1">
        <v>45932</v>
      </c>
      <c r="B15" s="1" t="s">
        <v>22</v>
      </c>
      <c r="C15" t="s">
        <v>5</v>
      </c>
      <c r="D15" t="s">
        <v>14</v>
      </c>
      <c r="E15" t="s">
        <v>9</v>
      </c>
      <c r="F15">
        <v>15</v>
      </c>
      <c r="G15" s="8">
        <v>150</v>
      </c>
      <c r="H15" s="7">
        <f t="shared" si="0"/>
        <v>2250</v>
      </c>
      <c r="I15" s="7">
        <f t="shared" si="1"/>
        <v>2100</v>
      </c>
    </row>
    <row r="16" spans="1:15" x14ac:dyDescent="0.3">
      <c r="A16" s="1">
        <v>46329</v>
      </c>
      <c r="B16" s="1" t="s">
        <v>21</v>
      </c>
      <c r="C16" t="s">
        <v>7</v>
      </c>
      <c r="D16" t="s">
        <v>15</v>
      </c>
      <c r="E16" t="s">
        <v>10</v>
      </c>
      <c r="F16">
        <v>20</v>
      </c>
      <c r="G16" s="8">
        <v>2500</v>
      </c>
      <c r="H16" s="7">
        <f t="shared" si="0"/>
        <v>50000</v>
      </c>
      <c r="I16" s="7">
        <f t="shared" si="1"/>
        <v>47500</v>
      </c>
    </row>
    <row r="17" spans="1:9" x14ac:dyDescent="0.3">
      <c r="A17" s="1">
        <v>46330</v>
      </c>
      <c r="B17" s="1" t="s">
        <v>21</v>
      </c>
      <c r="C17" t="s">
        <v>6</v>
      </c>
      <c r="D17" t="s">
        <v>16</v>
      </c>
      <c r="E17" t="s">
        <v>11</v>
      </c>
      <c r="F17">
        <v>15</v>
      </c>
      <c r="G17" s="8">
        <v>900</v>
      </c>
      <c r="H17" s="7">
        <f t="shared" si="0"/>
        <v>13500</v>
      </c>
      <c r="I17" s="7">
        <f t="shared" si="1"/>
        <v>12600</v>
      </c>
    </row>
    <row r="18" spans="1:9" x14ac:dyDescent="0.3">
      <c r="A18" s="1">
        <v>46331</v>
      </c>
      <c r="B18" s="1" t="s">
        <v>21</v>
      </c>
      <c r="C18" t="s">
        <v>8</v>
      </c>
      <c r="D18" t="s">
        <v>17</v>
      </c>
      <c r="E18" t="s">
        <v>12</v>
      </c>
      <c r="F18">
        <v>20</v>
      </c>
      <c r="G18" s="8">
        <v>2000</v>
      </c>
      <c r="H18" s="7">
        <f t="shared" si="0"/>
        <v>40000</v>
      </c>
      <c r="I18" s="7">
        <f t="shared" si="1"/>
        <v>38000</v>
      </c>
    </row>
    <row r="19" spans="1:9" x14ac:dyDescent="0.3">
      <c r="A19" s="1">
        <v>46332</v>
      </c>
      <c r="B19" s="1" t="s">
        <v>21</v>
      </c>
      <c r="C19" t="s">
        <v>5</v>
      </c>
      <c r="D19" t="s">
        <v>14</v>
      </c>
      <c r="E19" t="s">
        <v>9</v>
      </c>
      <c r="F19">
        <v>20</v>
      </c>
      <c r="G19" s="8">
        <v>150</v>
      </c>
      <c r="H19" s="7">
        <f t="shared" si="0"/>
        <v>3000</v>
      </c>
      <c r="I19" s="7">
        <f t="shared" si="1"/>
        <v>2850</v>
      </c>
    </row>
    <row r="20" spans="1:9" x14ac:dyDescent="0.3">
      <c r="A20" s="1">
        <v>46333</v>
      </c>
      <c r="B20" s="1" t="s">
        <v>21</v>
      </c>
      <c r="C20" t="s">
        <v>7</v>
      </c>
      <c r="D20" t="s">
        <v>15</v>
      </c>
      <c r="E20" t="s">
        <v>10</v>
      </c>
      <c r="F20">
        <v>10</v>
      </c>
      <c r="G20" s="8">
        <v>2500</v>
      </c>
      <c r="H20" s="7">
        <f t="shared" si="0"/>
        <v>25000</v>
      </c>
      <c r="I20" s="7">
        <f t="shared" si="1"/>
        <v>22500</v>
      </c>
    </row>
    <row r="22" spans="1:9" x14ac:dyDescent="0.3">
      <c r="A22" t="s">
        <v>19</v>
      </c>
      <c r="G22" s="2">
        <f>G3+SUM(G2:G20)</f>
        <v>29850</v>
      </c>
      <c r="H22" s="2">
        <f>H3+SUM(H2:H20)</f>
        <v>446000</v>
      </c>
      <c r="I22" s="9">
        <f>SUM(I2:I20)</f>
        <v>381150</v>
      </c>
    </row>
    <row r="23" spans="1:9" x14ac:dyDescent="0.3">
      <c r="A23" t="s">
        <v>26</v>
      </c>
      <c r="G23" s="2">
        <f>AVERAGE(G2:G20)</f>
        <v>1439.4736842105262</v>
      </c>
      <c r="H23" s="2">
        <f>AVERAGE(H2:H20)</f>
        <v>21500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FD29-7006-43F6-8B7F-B8C710FD336C}">
  <dimension ref="A3:B9"/>
  <sheetViews>
    <sheetView workbookViewId="0">
      <selection activeCell="F5" sqref="F5:P23"/>
    </sheetView>
  </sheetViews>
  <sheetFormatPr defaultRowHeight="14.4" x14ac:dyDescent="0.3"/>
  <cols>
    <col min="1" max="1" width="12.5546875" bestFit="1" customWidth="1"/>
    <col min="2" max="2" width="15.5546875" bestFit="1" customWidth="1"/>
  </cols>
  <sheetData>
    <row r="3" spans="1:2" x14ac:dyDescent="0.3">
      <c r="A3" s="4" t="s">
        <v>27</v>
      </c>
      <c r="B3" t="s">
        <v>32</v>
      </c>
    </row>
    <row r="4" spans="1:2" x14ac:dyDescent="0.3">
      <c r="A4" s="5" t="s">
        <v>8</v>
      </c>
      <c r="B4">
        <v>132250</v>
      </c>
    </row>
    <row r="5" spans="1:2" x14ac:dyDescent="0.3">
      <c r="A5" s="5" t="s">
        <v>5</v>
      </c>
      <c r="B5">
        <v>76250</v>
      </c>
    </row>
    <row r="6" spans="1:2" x14ac:dyDescent="0.3">
      <c r="A6" s="5" t="s">
        <v>6</v>
      </c>
      <c r="B6">
        <v>66000</v>
      </c>
    </row>
    <row r="7" spans="1:2" x14ac:dyDescent="0.3">
      <c r="A7" s="5" t="s">
        <v>7</v>
      </c>
      <c r="B7">
        <v>134000</v>
      </c>
    </row>
    <row r="8" spans="1:2" x14ac:dyDescent="0.3">
      <c r="A8" s="5" t="s">
        <v>33</v>
      </c>
      <c r="B8">
        <v>467500</v>
      </c>
    </row>
    <row r="9" spans="1:2" x14ac:dyDescent="0.3">
      <c r="A9" s="5" t="s">
        <v>28</v>
      </c>
      <c r="B9">
        <v>876000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D8211-F310-4695-AA71-41D573D6B174}">
  <dimension ref="A3:B9"/>
  <sheetViews>
    <sheetView workbookViewId="0">
      <selection activeCell="D3" sqref="D3"/>
    </sheetView>
  </sheetViews>
  <sheetFormatPr defaultRowHeight="14.4" x14ac:dyDescent="0.3"/>
  <cols>
    <col min="1" max="1" width="13.21875" bestFit="1" customWidth="1"/>
    <col min="2" max="2" width="15.5546875" bestFit="1" customWidth="1"/>
  </cols>
  <sheetData>
    <row r="3" spans="1:2" x14ac:dyDescent="0.3">
      <c r="A3" s="4" t="s">
        <v>27</v>
      </c>
      <c r="B3" t="s">
        <v>32</v>
      </c>
    </row>
    <row r="4" spans="1:2" x14ac:dyDescent="0.3">
      <c r="A4" s="5" t="s">
        <v>12</v>
      </c>
      <c r="B4">
        <v>130000</v>
      </c>
    </row>
    <row r="5" spans="1:2" x14ac:dyDescent="0.3">
      <c r="A5" s="5" t="s">
        <v>11</v>
      </c>
      <c r="B5">
        <v>54000</v>
      </c>
    </row>
    <row r="6" spans="1:2" x14ac:dyDescent="0.3">
      <c r="A6" s="5" t="s">
        <v>10</v>
      </c>
      <c r="B6">
        <v>212500</v>
      </c>
    </row>
    <row r="7" spans="1:2" x14ac:dyDescent="0.3">
      <c r="A7" s="5" t="s">
        <v>9</v>
      </c>
      <c r="B7">
        <v>12000</v>
      </c>
    </row>
    <row r="8" spans="1:2" x14ac:dyDescent="0.3">
      <c r="A8" s="5" t="s">
        <v>33</v>
      </c>
      <c r="B8">
        <v>446000</v>
      </c>
    </row>
    <row r="9" spans="1:2" x14ac:dyDescent="0.3">
      <c r="A9" s="5" t="s">
        <v>28</v>
      </c>
      <c r="B9">
        <v>854500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08F7-F09E-4EB8-8700-1811A8ED8FED}">
  <dimension ref="M20:O24"/>
  <sheetViews>
    <sheetView workbookViewId="0">
      <selection activeCell="K20" sqref="K20"/>
    </sheetView>
  </sheetViews>
  <sheetFormatPr defaultRowHeight="14.4" x14ac:dyDescent="0.3"/>
  <cols>
    <col min="13" max="15" width="10.44140625" customWidth="1"/>
  </cols>
  <sheetData>
    <row r="20" spans="13:15" x14ac:dyDescent="0.3">
      <c r="M20" t="s">
        <v>34</v>
      </c>
      <c r="N20" t="s">
        <v>35</v>
      </c>
      <c r="O20" t="s">
        <v>36</v>
      </c>
    </row>
    <row r="24" spans="13:15" x14ac:dyDescent="0.3">
      <c r="N24" t="s">
        <v>38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8E8F9-FC26-40C8-B38F-63956AC42C5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Clean data</vt:lpstr>
      <vt:lpstr>Revenue by loc</vt:lpstr>
      <vt:lpstr>Revenue by cat</vt:lpstr>
      <vt:lpstr>Dashboard</vt:lpstr>
      <vt:lpstr>4_model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 Kigotho</dc:creator>
  <cp:lastModifiedBy>Stan Kigotho</cp:lastModifiedBy>
  <dcterms:created xsi:type="dcterms:W3CDTF">2026-04-22T08:48:30Z</dcterms:created>
  <dcterms:modified xsi:type="dcterms:W3CDTF">2026-04-29T19:39:51Z</dcterms:modified>
</cp:coreProperties>
</file>